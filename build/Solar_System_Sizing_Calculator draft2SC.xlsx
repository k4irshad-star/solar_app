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1685" windowHeight="7650"/>
  </bookViews>
  <sheets>
    <sheet name="Solar Sizing Calculator" sheetId="1" r:id="rId1"/>
    <sheet name="ApplianceSpecs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B28" i="1"/>
  <c r="B14" i="1"/>
  <c r="B13" i="1"/>
  <c r="B19" i="1"/>
  <c r="A28" i="1"/>
  <c r="B26" i="1"/>
  <c r="B37" i="1"/>
  <c r="B17" i="1" s="1"/>
  <c r="C4" i="2"/>
  <c r="B38" i="1" l="1"/>
  <c r="B39" i="1" s="1"/>
  <c r="B40" i="1" s="1"/>
  <c r="B22" i="1"/>
  <c r="C17" i="1"/>
  <c r="B46" i="1" l="1"/>
  <c r="B27" i="1"/>
  <c r="B15" i="1"/>
  <c r="B21" i="1" s="1"/>
  <c r="B18" i="1" l="1"/>
  <c r="B32" i="1" s="1"/>
  <c r="B29" i="1" s="1"/>
  <c r="B31" i="1" s="1"/>
  <c r="B54" i="1" s="1"/>
  <c r="B55" i="1" l="1"/>
  <c r="B56" i="1" s="1"/>
  <c r="B57" i="1" s="1"/>
  <c r="B58" i="1" l="1"/>
  <c r="B59" i="1" s="1"/>
  <c r="B62" i="1" s="1"/>
  <c r="B60" i="1" l="1"/>
</calcChain>
</file>

<file path=xl/sharedStrings.xml><?xml version="1.0" encoding="utf-8"?>
<sst xmlns="http://schemas.openxmlformats.org/spreadsheetml/2006/main" count="96" uniqueCount="90">
  <si>
    <t>Input Field</t>
  </si>
  <si>
    <t>Value / Selection</t>
  </si>
  <si>
    <t>Unit</t>
  </si>
  <si>
    <t>Productive Use Appliance</t>
  </si>
  <si>
    <t>Mill 2kW</t>
  </si>
  <si>
    <t xml:space="preserve">←Use Drop Down </t>
  </si>
  <si>
    <t>System (AC OR DC)</t>
  </si>
  <si>
    <t>AC</t>
  </si>
  <si>
    <t>Select One</t>
  </si>
  <si>
    <t>Runtime per Day</t>
  </si>
  <si>
    <t>Hours</t>
  </si>
  <si>
    <t>Sun hours per day</t>
  </si>
  <si>
    <t>Operating days per year</t>
  </si>
  <si>
    <t>(Can be changed)</t>
  </si>
  <si>
    <t>Solar System In/Out Efficiency</t>
  </si>
  <si>
    <t>% (Can be changed)</t>
  </si>
  <si>
    <t>Power Rating (Auto)</t>
  </si>
  <si>
    <t>Watts</t>
  </si>
  <si>
    <t>Battery Cost per kWh</t>
  </si>
  <si>
    <t>kWh</t>
  </si>
  <si>
    <t>Should move to Appliance Specs</t>
  </si>
  <si>
    <t>Battery storage hours</t>
  </si>
  <si>
    <t>hours</t>
  </si>
  <si>
    <t>System sizing outputs</t>
  </si>
  <si>
    <t>Specific Efficiency of Mill</t>
  </si>
  <si>
    <t>kg/kWh</t>
  </si>
  <si>
    <t>Energy Required per Day</t>
  </si>
  <si>
    <t>Energy Production</t>
  </si>
  <si>
    <t>kWh/Day</t>
  </si>
  <si>
    <t xml:space="preserve">Income Per Kg </t>
  </si>
  <si>
    <t>Move this to first row under Revenue</t>
  </si>
  <si>
    <t>Income Per Day</t>
  </si>
  <si>
    <t>Wrong formula. Income/day = Income per kg x kg/day = Income/day x kg/kWh x kWh/day</t>
  </si>
  <si>
    <t>Battery Capacity</t>
  </si>
  <si>
    <t>Battery Cost</t>
  </si>
  <si>
    <t>Replicated in row 37 so remove it from here, move formula to row 37</t>
  </si>
  <si>
    <t>Solar Panel Required</t>
  </si>
  <si>
    <t>Alternate formula on right side➡</t>
  </si>
  <si>
    <t>Recommended Solar System Size</t>
  </si>
  <si>
    <t>kWp (rounded)</t>
  </si>
  <si>
    <t>Not a good formula. If I put 5 hours per day (B4), it rounds the solar panel size down, should only round up</t>
  </si>
  <si>
    <t>Revenue</t>
  </si>
  <si>
    <t>Income per hour</t>
  </si>
  <si>
    <t>Income per day</t>
  </si>
  <si>
    <t>Gross Income Per Year</t>
  </si>
  <si>
    <t>Cost estimate</t>
  </si>
  <si>
    <t>Maybe move Capital Cost Estimate to be before the Revenue section</t>
  </si>
  <si>
    <t>Appliance Cost</t>
  </si>
  <si>
    <t>Solar Panel Cost</t>
  </si>
  <si>
    <t>(Changes when AC or DC is selected from above)</t>
  </si>
  <si>
    <t>FOB Subtotal</t>
  </si>
  <si>
    <t>% cost increase to import and install</t>
  </si>
  <si>
    <t>Default 100%, can change.</t>
  </si>
  <si>
    <t>Installed Capital Cost estimate</t>
  </si>
  <si>
    <t>Daily Operating Cost (Expenses)</t>
  </si>
  <si>
    <t>Daily Operating Cost (Labor, Rent, etc.)</t>
  </si>
  <si>
    <t>Can be changed</t>
  </si>
  <si>
    <t>Net Income Per Day</t>
  </si>
  <si>
    <t xml:space="preserve"> Financing Inputs</t>
  </si>
  <si>
    <t xml:space="preserve"> Loan Term (Years)</t>
  </si>
  <si>
    <t>Years</t>
  </si>
  <si>
    <t xml:space="preserve"> Interest Rate (p.a.)</t>
  </si>
  <si>
    <t xml:space="preserve"> Deposit</t>
  </si>
  <si>
    <t>Financing Results</t>
  </si>
  <si>
    <t>Loan Principal</t>
  </si>
  <si>
    <t>Monthly Repayment</t>
  </si>
  <si>
    <t>Total Repayment</t>
  </si>
  <si>
    <t xml:space="preserve"> Total Interest Paid</t>
  </si>
  <si>
    <t>Annual Repayment</t>
  </si>
  <si>
    <t>Daily Repayment</t>
  </si>
  <si>
    <t>% of Daily Gross Revenue Used for Repayment</t>
  </si>
  <si>
    <t>Viable Business?</t>
  </si>
  <si>
    <t>(Requires net income per day to be greater than the daily repayment to be a viable business)</t>
  </si>
  <si>
    <t>Product</t>
  </si>
  <si>
    <t>Wattage</t>
  </si>
  <si>
    <t>Price</t>
  </si>
  <si>
    <t>Processing Speed (kg/hr)</t>
  </si>
  <si>
    <t>Mill 3kW</t>
  </si>
  <si>
    <t>Solar Panel</t>
  </si>
  <si>
    <t>Solar Panel Per Watt</t>
  </si>
  <si>
    <t>Solar Controller</t>
  </si>
  <si>
    <t>Solar Inverter</t>
  </si>
  <si>
    <t>Choose any</t>
  </si>
  <si>
    <t>done</t>
  </si>
  <si>
    <t xml:space="preserve"> </t>
  </si>
  <si>
    <t>Check This</t>
  </si>
  <si>
    <t>Moved here</t>
  </si>
  <si>
    <t>AC changes according to system size, DC is same as before</t>
  </si>
  <si>
    <t>Check This Formula I did in blue and this will also goes under revenue?</t>
  </si>
  <si>
    <t>I have changed it so it does not round down. But if it sill does we can stick with our default formula.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</si>
</sst>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&quot;£&quot;* #,##0.00_-;\-&quot;£&quot;* #,##0.00_-;_-&quot;£&quot;* &quot;-&quot;??_-;_-@_-"/>
    <numFmt numFmtId="165" formatCode="_-[$$-409]* #,##0.00_ ;_-[$$-409]* \-#,##0.00\ ;_-[$$-409]* &quot;-&quot;??_ ;_-@_ "/>
    <numFmt numFmtId="166" formatCode="&quot;$&quot;#,##0_);[Red]\(&quot;$&quot;#,##0\)"/>
    <numFmt numFmtId="167" formatCode="&quot;$&quot;#,##0.00_);[Red]\(&quot;$&quot;#,##0.00\)"/>
    <numFmt numFmtId="168" formatCode="0.0%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/>
    <xf numFmtId="166" fontId="1" fillId="3" borderId="0" xfId="0" applyNumberFormat="1" applyFont="1" applyFill="1" applyAlignment="1">
      <alignment horizontal="center"/>
    </xf>
    <xf numFmtId="166" fontId="1" fillId="3" borderId="0" xfId="0" applyNumberFormat="1" applyFont="1" applyFill="1"/>
    <xf numFmtId="167" fontId="1" fillId="2" borderId="0" xfId="0" applyNumberFormat="1" applyFont="1" applyFill="1" applyAlignment="1">
      <alignment horizontal="center"/>
    </xf>
    <xf numFmtId="167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167" fontId="1" fillId="0" borderId="0" xfId="0" applyNumberFormat="1" applyFont="1" applyFill="1" applyAlignment="1">
      <alignment horizontal="center"/>
    </xf>
    <xf numFmtId="0" fontId="1" fillId="0" borderId="0" xfId="0" applyFont="1" applyAlignment="1">
      <alignment wrapText="1"/>
    </xf>
    <xf numFmtId="9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/>
    </xf>
    <xf numFmtId="166" fontId="1" fillId="0" borderId="0" xfId="0" applyNumberFormat="1" applyFont="1"/>
    <xf numFmtId="168" fontId="1" fillId="0" borderId="0" xfId="2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165" fontId="1" fillId="0" borderId="0" xfId="0" applyNumberFormat="1" applyFont="1"/>
    <xf numFmtId="0" fontId="1" fillId="4" borderId="0" xfId="0" applyFont="1" applyFill="1"/>
    <xf numFmtId="165" fontId="1" fillId="5" borderId="0" xfId="1" applyNumberFormat="1" applyFont="1" applyFill="1" applyAlignment="1">
      <alignment horizontal="center"/>
    </xf>
    <xf numFmtId="0" fontId="1" fillId="3" borderId="0" xfId="1" applyNumberFormat="1" applyFont="1" applyFill="1" applyAlignment="1">
      <alignment horizontal="center"/>
    </xf>
    <xf numFmtId="0" fontId="1" fillId="6" borderId="0" xfId="0" applyFont="1" applyFill="1" applyAlignment="1">
      <alignment horizontal="left"/>
    </xf>
    <xf numFmtId="0" fontId="1" fillId="5" borderId="0" xfId="0" applyFont="1" applyFill="1"/>
    <xf numFmtId="0" fontId="1" fillId="4" borderId="0" xfId="0" applyFont="1" applyFill="1" applyAlignment="1">
      <alignment wrapText="1"/>
    </xf>
    <xf numFmtId="0" fontId="4" fillId="5" borderId="0" xfId="0" applyFont="1" applyFill="1" applyAlignment="1">
      <alignment wrapText="1"/>
    </xf>
    <xf numFmtId="0" fontId="1" fillId="7" borderId="0" xfId="0" applyFont="1" applyFill="1" applyAlignment="1">
      <alignment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62"/>
  <sheetViews>
    <sheetView tabSelected="1" topLeftCell="A34" zoomScale="60" zoomScaleNormal="60" workbookViewId="0">
      <selection activeCell="B46" sqref="B46"/>
    </sheetView>
  </sheetViews>
  <sheetFormatPr defaultColWidth="9" defaultRowHeight="15"/>
  <cols>
    <col min="1" max="1" width="47.140625" style="2" customWidth="1"/>
    <col min="2" max="2" width="30" style="3" customWidth="1"/>
    <col min="3" max="3" width="53.28515625" style="2" customWidth="1"/>
    <col min="4" max="4" width="107" style="2" customWidth="1"/>
    <col min="5" max="5" width="16" style="2" customWidth="1"/>
    <col min="6" max="16384" width="9" style="2"/>
  </cols>
  <sheetData>
    <row r="1" spans="1:5">
      <c r="A1" s="4" t="s">
        <v>0</v>
      </c>
      <c r="B1" s="5" t="s">
        <v>1</v>
      </c>
      <c r="C1" s="4" t="s">
        <v>2</v>
      </c>
    </row>
    <row r="2" spans="1:5">
      <c r="A2" s="2" t="s">
        <v>3</v>
      </c>
      <c r="B2" s="6" t="s">
        <v>4</v>
      </c>
      <c r="C2" s="4" t="s">
        <v>5</v>
      </c>
    </row>
    <row r="3" spans="1:5">
      <c r="A3" s="2" t="s">
        <v>6</v>
      </c>
      <c r="B3" s="6" t="s">
        <v>7</v>
      </c>
      <c r="C3" s="4" t="s">
        <v>8</v>
      </c>
    </row>
    <row r="4" spans="1:5">
      <c r="A4" s="2" t="s">
        <v>9</v>
      </c>
      <c r="B4" s="6">
        <v>4</v>
      </c>
      <c r="C4" s="2" t="s">
        <v>10</v>
      </c>
    </row>
    <row r="5" spans="1:5">
      <c r="A5" s="2" t="s">
        <v>11</v>
      </c>
      <c r="B5" s="6">
        <v>4</v>
      </c>
      <c r="C5" s="2" t="s">
        <v>10</v>
      </c>
    </row>
    <row r="6" spans="1:5">
      <c r="A6" s="2" t="s">
        <v>12</v>
      </c>
      <c r="B6" s="6">
        <v>250</v>
      </c>
      <c r="C6" s="2" t="s">
        <v>13</v>
      </c>
    </row>
    <row r="7" spans="1:5">
      <c r="A7" s="2" t="s">
        <v>14</v>
      </c>
      <c r="B7" s="6">
        <v>80</v>
      </c>
      <c r="C7" s="2" t="s">
        <v>15</v>
      </c>
    </row>
    <row r="9" spans="1:5">
      <c r="A9" s="7"/>
      <c r="B9" s="8"/>
      <c r="C9" s="7"/>
      <c r="D9" s="9" t="s">
        <v>20</v>
      </c>
      <c r="E9" s="22" t="s">
        <v>83</v>
      </c>
    </row>
    <row r="10" spans="1:5">
      <c r="A10" s="2" t="s">
        <v>21</v>
      </c>
      <c r="B10" s="6">
        <v>1</v>
      </c>
      <c r="C10" s="2" t="s">
        <v>22</v>
      </c>
    </row>
    <row r="12" spans="1:5">
      <c r="A12" s="4" t="s">
        <v>23</v>
      </c>
    </row>
    <row r="13" spans="1:5">
      <c r="A13" s="2" t="s">
        <v>24</v>
      </c>
      <c r="B13" s="3">
        <f>IFERROR(VLOOKUP(B2,ApplianceSpecs!A:D,4,FALSE)/(B19/1000),"")</f>
        <v>50</v>
      </c>
      <c r="C13" s="2" t="s">
        <v>25</v>
      </c>
    </row>
    <row r="14" spans="1:5">
      <c r="A14" s="2" t="s">
        <v>26</v>
      </c>
      <c r="B14" s="3">
        <f>IF(AND(ISNUMBER(B4),ISNUMBER(B19)),B4*B19/1000,"")</f>
        <v>8</v>
      </c>
      <c r="C14" s="2" t="s">
        <v>19</v>
      </c>
    </row>
    <row r="15" spans="1:5">
      <c r="A15" s="2" t="s">
        <v>27</v>
      </c>
      <c r="B15" s="3">
        <f>B14/(B7/100)</f>
        <v>10</v>
      </c>
      <c r="C15" s="2" t="s">
        <v>28</v>
      </c>
    </row>
    <row r="16" spans="1:5">
      <c r="B16" s="14"/>
      <c r="D16" s="2" t="s">
        <v>30</v>
      </c>
      <c r="E16" s="22" t="s">
        <v>83</v>
      </c>
    </row>
    <row r="17" spans="1:5" ht="108" customHeight="1">
      <c r="A17" s="2" t="s">
        <v>31</v>
      </c>
      <c r="B17" s="11">
        <f>B37*B6</f>
        <v>8.9285714285714288</v>
      </c>
      <c r="C17" s="23">
        <f>B37*B14*B13</f>
        <v>14.285714285714285</v>
      </c>
      <c r="D17" s="2" t="s">
        <v>32</v>
      </c>
      <c r="E17" s="28" t="s">
        <v>88</v>
      </c>
    </row>
    <row r="18" spans="1:5">
      <c r="A18" s="2" t="s">
        <v>33</v>
      </c>
      <c r="B18" s="3">
        <f>IFERROR((B22)*MAX(1,B10),"")</f>
        <v>2.5</v>
      </c>
      <c r="C18" s="2" t="s">
        <v>19</v>
      </c>
    </row>
    <row r="19" spans="1:5">
      <c r="A19" s="2" t="s">
        <v>16</v>
      </c>
      <c r="B19" s="3">
        <f>IF(B2="","",IFERROR(VLOOKUP(B2,ApplianceSpecs!A:B,2,FALSE),""))</f>
        <v>2000</v>
      </c>
      <c r="C19" s="2" t="s">
        <v>17</v>
      </c>
    </row>
    <row r="20" spans="1:5">
      <c r="B20" s="12"/>
      <c r="D20" s="2" t="s">
        <v>35</v>
      </c>
      <c r="E20" s="22" t="s">
        <v>83</v>
      </c>
    </row>
    <row r="21" spans="1:5" ht="105">
      <c r="A21" s="2" t="s">
        <v>36</v>
      </c>
      <c r="B21" s="3">
        <f>B15/B5</f>
        <v>2.5</v>
      </c>
      <c r="C21" s="13" t="s">
        <v>37</v>
      </c>
      <c r="D21" s="25">
        <f>CEILING((B19*B4)/(ApplianceSpecs!B4*B5), 0.5)</f>
        <v>4</v>
      </c>
      <c r="E21" s="29" t="s">
        <v>89</v>
      </c>
    </row>
    <row r="22" spans="1:5">
      <c r="A22" s="4" t="s">
        <v>38</v>
      </c>
      <c r="B22" s="3">
        <f>IF(ISNUMBER(B14), CEILING(B14/4*1.2, 0.5), "")</f>
        <v>2.5</v>
      </c>
      <c r="C22" s="2" t="s">
        <v>39</v>
      </c>
      <c r="D22" s="2" t="s">
        <v>40</v>
      </c>
      <c r="E22" s="26" t="s">
        <v>85</v>
      </c>
    </row>
    <row r="25" spans="1:5">
      <c r="A25" s="4" t="s">
        <v>45</v>
      </c>
      <c r="D25" s="2" t="s">
        <v>46</v>
      </c>
      <c r="E25" s="22" t="s">
        <v>83</v>
      </c>
    </row>
    <row r="26" spans="1:5">
      <c r="A26" s="2" t="s">
        <v>47</v>
      </c>
      <c r="B26" s="12">
        <f>IF(B2="","",IFERROR(VLOOKUP(B2,ApplianceSpecs!A:C,3,FALSE),""))</f>
        <v>600</v>
      </c>
    </row>
    <row r="27" spans="1:5">
      <c r="A27" s="15" t="s">
        <v>48</v>
      </c>
      <c r="B27" s="12">
        <f>CEILING((B22*1000)/ApplianceSpecs!B4,1)*ApplianceSpecs!C4</f>
        <v>250</v>
      </c>
    </row>
    <row r="28" spans="1:5" ht="75">
      <c r="A28" s="15" t="str">
        <f>IF(B3="AC","Solar Inverter",IF(B3="DC","Solar Controller",""))</f>
        <v>Solar Inverter</v>
      </c>
      <c r="B28" s="12">
        <f>IF(B3="AC", VLOOKUP("Solar Inverter", ApplianceSpecs!A:C, 3, FALSE) * B22, IF(B3="DC", VLOOKUP("Solar Controller", ApplianceSpecs!A:C, 3, FALSE), ""))</f>
        <v>250</v>
      </c>
      <c r="C28" s="2" t="s">
        <v>49</v>
      </c>
      <c r="E28" s="27" t="s">
        <v>87</v>
      </c>
    </row>
    <row r="29" spans="1:5">
      <c r="A29" s="2" t="s">
        <v>50</v>
      </c>
      <c r="B29" s="12">
        <f>B26+B27+B32+B28</f>
        <v>1850</v>
      </c>
    </row>
    <row r="30" spans="1:5">
      <c r="A30" s="2" t="s">
        <v>51</v>
      </c>
      <c r="B30" s="16">
        <v>1</v>
      </c>
      <c r="C30" s="2" t="s">
        <v>52</v>
      </c>
    </row>
    <row r="31" spans="1:5">
      <c r="A31" s="2" t="s">
        <v>53</v>
      </c>
      <c r="B31" s="12">
        <f>B29*(1+B30)</f>
        <v>3700</v>
      </c>
    </row>
    <row r="32" spans="1:5">
      <c r="A32" s="2" t="s">
        <v>34</v>
      </c>
      <c r="B32" s="12">
        <f>B18*ApplianceSpecs!C8</f>
        <v>750</v>
      </c>
    </row>
    <row r="36" spans="1:5">
      <c r="A36" s="4" t="s">
        <v>41</v>
      </c>
    </row>
    <row r="37" spans="1:5">
      <c r="A37" s="2" t="s">
        <v>29</v>
      </c>
      <c r="B37" s="10">
        <f>(5/140)</f>
        <v>3.5714285714285712E-2</v>
      </c>
      <c r="E37" s="22" t="s">
        <v>86</v>
      </c>
    </row>
    <row r="38" spans="1:5">
      <c r="A38" s="2" t="s">
        <v>42</v>
      </c>
      <c r="B38" s="11">
        <f>IFERROR(B37*VLOOKUP(B2,ApplianceSpecs!A:D,4,FALSE),"")</f>
        <v>3.5714285714285712</v>
      </c>
    </row>
    <row r="39" spans="1:5">
      <c r="A39" s="2" t="s">
        <v>43</v>
      </c>
      <c r="B39" s="11">
        <f>B38*B4</f>
        <v>14.285714285714285</v>
      </c>
      <c r="D39" s="2" t="s">
        <v>84</v>
      </c>
    </row>
    <row r="40" spans="1:5">
      <c r="A40" s="2" t="s">
        <v>44</v>
      </c>
      <c r="B40" s="12">
        <f>B39*B6</f>
        <v>3571.4285714285711</v>
      </c>
    </row>
    <row r="41" spans="1:5">
      <c r="A41" s="4"/>
    </row>
    <row r="42" spans="1:5">
      <c r="B42" s="12"/>
    </row>
    <row r="43" spans="1:5">
      <c r="B43" s="12"/>
    </row>
    <row r="44" spans="1:5">
      <c r="A44" s="4" t="s">
        <v>54</v>
      </c>
    </row>
    <row r="45" spans="1:5">
      <c r="A45" s="2" t="s">
        <v>55</v>
      </c>
      <c r="B45" s="10">
        <v>10</v>
      </c>
      <c r="C45" s="2" t="s">
        <v>56</v>
      </c>
    </row>
    <row r="46" spans="1:5">
      <c r="A46" s="2" t="s">
        <v>57</v>
      </c>
      <c r="B46" s="11">
        <f>IF(OR(B39="",B45=""),"",B39-B45)</f>
        <v>4.2857142857142847</v>
      </c>
    </row>
    <row r="48" spans="1:5">
      <c r="A48" s="4" t="s">
        <v>58</v>
      </c>
    </row>
    <row r="49" spans="1:3">
      <c r="A49" s="2" t="s">
        <v>59</v>
      </c>
      <c r="B49" s="6">
        <v>3</v>
      </c>
      <c r="C49" s="2" t="s">
        <v>60</v>
      </c>
    </row>
    <row r="50" spans="1:3">
      <c r="A50" s="2" t="s">
        <v>61</v>
      </c>
      <c r="B50" s="16">
        <v>0.15</v>
      </c>
    </row>
    <row r="51" spans="1:3">
      <c r="A51" s="2" t="s">
        <v>62</v>
      </c>
      <c r="B51" s="17">
        <v>0</v>
      </c>
    </row>
    <row r="53" spans="1:3">
      <c r="A53" s="4" t="s">
        <v>63</v>
      </c>
    </row>
    <row r="54" spans="1:3">
      <c r="A54" s="2" t="s">
        <v>64</v>
      </c>
      <c r="B54" s="12">
        <f>B31-B51</f>
        <v>3700</v>
      </c>
    </row>
    <row r="55" spans="1:3">
      <c r="A55" s="2" t="s">
        <v>65</v>
      </c>
      <c r="B55" s="11">
        <f>-PMT(B50/12,B49*12,B54)</f>
        <v>128.26171546551828</v>
      </c>
    </row>
    <row r="56" spans="1:3">
      <c r="A56" s="2" t="s">
        <v>66</v>
      </c>
      <c r="B56" s="12">
        <f>B55*12*B49</f>
        <v>4617.4217567586584</v>
      </c>
    </row>
    <row r="57" spans="1:3">
      <c r="A57" s="2" t="s">
        <v>67</v>
      </c>
      <c r="B57" s="12">
        <f>B56-B54</f>
        <v>917.42175675865838</v>
      </c>
      <c r="C57" s="18"/>
    </row>
    <row r="58" spans="1:3">
      <c r="A58" s="2" t="s">
        <v>68</v>
      </c>
      <c r="B58" s="12">
        <f>B55*12</f>
        <v>1539.1405855862195</v>
      </c>
    </row>
    <row r="59" spans="1:3">
      <c r="A59" s="2" t="s">
        <v>69</v>
      </c>
      <c r="B59" s="11">
        <f>B58/365</f>
        <v>4.2168235221540256</v>
      </c>
    </row>
    <row r="60" spans="1:3">
      <c r="A60" s="2" t="s">
        <v>70</v>
      </c>
      <c r="B60" s="19">
        <f>IF(B39=0,"",B59/B39)</f>
        <v>0.29517764655078182</v>
      </c>
    </row>
    <row r="62" spans="1:3" ht="30">
      <c r="A62" s="2" t="s">
        <v>71</v>
      </c>
      <c r="B62" s="3" t="str">
        <f>IF(OR(B46="",B59=""),"",IF(B46&gt;=B59,"Yes ✅","No ❌"))</f>
        <v>Yes ✅</v>
      </c>
      <c r="C62" s="15" t="s">
        <v>72</v>
      </c>
    </row>
  </sheetData>
  <dataValidations count="1">
    <dataValidation type="list" showInputMessage="1" showErrorMessage="1" promptTitle="Choose System" prompt="Choose the appliance is either AC or DC" sqref="B3">
      <formula1>"Choose any, AC, DC"</formula1>
    </dataValidation>
  </dataValidations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ApplianceSpecs!$A$2:$A$3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9"/>
  <sheetViews>
    <sheetView zoomScaleNormal="100" workbookViewId="0">
      <selection activeCell="E14" sqref="E14"/>
    </sheetView>
  </sheetViews>
  <sheetFormatPr defaultColWidth="9" defaultRowHeight="15"/>
  <cols>
    <col min="1" max="1" width="27.42578125" customWidth="1"/>
    <col min="2" max="2" width="10.5703125" bestFit="1" customWidth="1"/>
    <col min="3" max="3" width="12" bestFit="1" customWidth="1"/>
    <col min="4" max="4" width="23.42578125" style="1" customWidth="1"/>
  </cols>
  <sheetData>
    <row r="1" spans="1:4">
      <c r="A1" s="2" t="s">
        <v>73</v>
      </c>
      <c r="B1" s="2" t="s">
        <v>74</v>
      </c>
      <c r="C1" s="2" t="s">
        <v>75</v>
      </c>
      <c r="D1" s="20" t="s">
        <v>76</v>
      </c>
    </row>
    <row r="2" spans="1:4" ht="87.75" customHeight="1">
      <c r="A2" s="2" t="s">
        <v>4</v>
      </c>
      <c r="B2" s="2">
        <v>2000</v>
      </c>
      <c r="C2" s="21">
        <v>600</v>
      </c>
      <c r="D2" s="20">
        <v>100</v>
      </c>
    </row>
    <row r="3" spans="1:4">
      <c r="A3" s="2" t="s">
        <v>77</v>
      </c>
      <c r="B3" s="2">
        <v>3000</v>
      </c>
      <c r="C3" s="21">
        <v>800</v>
      </c>
      <c r="D3" s="20">
        <v>150</v>
      </c>
    </row>
    <row r="4" spans="1:4">
      <c r="A4" s="2" t="s">
        <v>78</v>
      </c>
      <c r="B4" s="2">
        <v>500</v>
      </c>
      <c r="C4" s="21">
        <f>C5*B4</f>
        <v>50</v>
      </c>
      <c r="D4" s="20"/>
    </row>
    <row r="5" spans="1:4">
      <c r="A5" s="2" t="s">
        <v>79</v>
      </c>
      <c r="B5" s="2">
        <v>1</v>
      </c>
      <c r="C5" s="21">
        <v>0.1</v>
      </c>
      <c r="D5" s="20"/>
    </row>
    <row r="6" spans="1:4">
      <c r="A6" s="2" t="s">
        <v>80</v>
      </c>
      <c r="B6" s="2">
        <v>1000</v>
      </c>
      <c r="C6" s="21">
        <v>50</v>
      </c>
      <c r="D6" s="20"/>
    </row>
    <row r="7" spans="1:4">
      <c r="A7" s="2" t="s">
        <v>81</v>
      </c>
      <c r="B7" s="2">
        <v>1000</v>
      </c>
      <c r="C7" s="21">
        <v>100</v>
      </c>
      <c r="D7" s="20"/>
    </row>
    <row r="8" spans="1:4">
      <c r="A8" s="2" t="s">
        <v>18</v>
      </c>
      <c r="B8" s="24">
        <v>1000</v>
      </c>
      <c r="C8" s="8">
        <v>300</v>
      </c>
      <c r="D8" s="20"/>
    </row>
    <row r="9" spans="1:4">
      <c r="A9" s="2" t="s">
        <v>82</v>
      </c>
      <c r="B9" s="2"/>
      <c r="C9" s="2"/>
      <c r="D9" s="20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Solar Sizing Calculator</vt:lpstr>
      <vt:lpstr>ApplianceSpecs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2025-07-09T10:27:00Z</dcterms:created>
  <dcterms:modified xsi:type="dcterms:W3CDTF">2025-08-04T18:03:17Z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9068C1CF4C7647A088B585E09F1D9686_12</vt:lpwstr>
  </property>
  <property fmtid="{D5CDD505-2E9C-101B-9397-08002B2CF9AE}" pid="4" name="KSOProductBuildVer">
    <vt:lpwstr>2057-12.2.0.22222</vt:lpwstr>
  </property>
</Properties>
</file>